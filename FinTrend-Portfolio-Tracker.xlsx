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$#,##0.00"/>
    <numFmt numFmtId="166" formatCode="$#,##0.00;($#,##0.00);-"/>
    <numFmt numFmtId="167" formatCode="0.0%;(0.0%);-"/>
    <numFmt numFmtId="168" formatCode="0.0%"/>
  </numFmts>
  <fonts count="11">
    <font>
      <name val="Calibri"/>
      <family val="2"/>
      <color theme="1"/>
      <sz val="11"/>
      <scheme val="minor"/>
    </font>
    <font>
      <name val="Arial"/>
      <b val="1"/>
      <color rgb="FFF4C15D"/>
      <sz val="13"/>
    </font>
    <font>
      <name val="Arial"/>
      <i val="1"/>
      <color rgb="FF9CA3AF"/>
      <sz val="9"/>
    </font>
    <font>
      <name val="Arial"/>
      <b val="1"/>
      <color rgb="FFF9FAFB"/>
      <sz val="11"/>
    </font>
    <font>
      <name val="Arial"/>
      <color rgb="FFF9FAFB"/>
      <sz val="10"/>
    </font>
    <font>
      <name val="Arial"/>
      <color rgb="FF0000FF"/>
      <sz val="10"/>
    </font>
    <font>
      <name val="Arial"/>
      <color rgb="FF000000"/>
      <sz val="10"/>
    </font>
    <font>
      <name val="Arial"/>
      <b val="1"/>
      <color rgb="FFF4C15D"/>
      <sz val="11"/>
    </font>
    <font>
      <name val="Arial"/>
      <b val="1"/>
      <color rgb="FFF4C15D"/>
      <sz val="10"/>
    </font>
    <font>
      <name val="Arial"/>
      <b val="1"/>
      <color rgb="FFF9FAFB"/>
      <sz val="10"/>
    </font>
    <font>
      <name val="Arial"/>
      <i val="1"/>
      <color rgb="FFFBBF24"/>
      <sz val="9"/>
    </font>
  </fonts>
  <fills count="7">
    <fill>
      <patternFill/>
    </fill>
    <fill>
      <patternFill patternType="gray125"/>
    </fill>
    <fill>
      <patternFill patternType="solid">
        <fgColor rgb="FF0B1020"/>
      </patternFill>
    </fill>
    <fill>
      <patternFill patternType="solid">
        <fgColor rgb="FF050816"/>
      </patternFill>
    </fill>
    <fill>
      <patternFill patternType="solid">
        <fgColor rgb="FF0F1A2E"/>
      </patternFill>
    </fill>
    <fill>
      <patternFill patternType="solid">
        <fgColor rgb="FF07101F"/>
      </patternFill>
    </fill>
    <fill>
      <patternFill patternType="solid">
        <fgColor rgb="FF2A2210"/>
      </patternFill>
    </fill>
  </fills>
  <borders count="6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</border>
    <border>
      <left/>
      <right/>
      <top style="thin">
        <color rgb="FF1F2937"/>
      </top>
      <bottom/>
      <diagonal/>
    </border>
    <border>
      <left/>
      <right style="thin">
        <color rgb="FF1F2937"/>
      </right>
      <top style="thin">
        <color rgb="FF1F2937"/>
      </top>
      <bottom/>
      <diagonal/>
    </border>
    <border>
      <left/>
      <right/>
      <top style="thin">
        <color rgb="FF1F2937"/>
      </top>
      <bottom style="thin">
        <color rgb="FF1F2937"/>
      </bottom>
      <diagonal/>
    </border>
    <border>
      <left/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" fontId="6" fillId="5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36" customHeight="1">
      <c r="A1" s="1" t="inlineStr">
        <is>
          <t>FinTrend News · Portfolio Tracker</t>
        </is>
      </c>
    </row>
    <row r="2" ht="20" customHeight="1">
      <c r="A2" s="2" t="inlineStr">
        <is>
          <t>Blue cells = your inputs. Black cells = formulas. Not financial advice.</t>
        </is>
      </c>
    </row>
    <row r="3" ht="30" customHeight="1">
      <c r="A3" s="3" t="inlineStr">
        <is>
          <t>Position</t>
        </is>
      </c>
      <c r="B3" s="3" t="inlineStr">
        <is>
          <t>Ticker</t>
        </is>
      </c>
      <c r="C3" s="3" t="inlineStr">
        <is>
          <t>Shares</t>
        </is>
      </c>
      <c r="D3" s="3" t="inlineStr">
        <is>
          <t>Avg Cost ($)</t>
        </is>
      </c>
      <c r="E3" s="3" t="inlineStr">
        <is>
          <t>Current Price ($)</t>
        </is>
      </c>
      <c r="F3" s="3" t="inlineStr">
        <is>
          <t>Market Value ($)</t>
        </is>
      </c>
      <c r="G3" s="3" t="inlineStr">
        <is>
          <t>Unrealised P&amp;L ($)</t>
        </is>
      </c>
      <c r="H3" s="3" t="inlineStr">
        <is>
          <t>Unrealised P&amp;L (%)</t>
        </is>
      </c>
      <c r="I3" s="3" t="inlineStr">
        <is>
          <t>Portfolio Weight (%)</t>
        </is>
      </c>
      <c r="J3" s="3" t="inlineStr">
        <is>
          <t>Notes</t>
        </is>
      </c>
    </row>
    <row r="4">
      <c r="A4" s="4" t="inlineStr">
        <is>
          <t>Position 1</t>
        </is>
      </c>
      <c r="B4" s="5" t="inlineStr">
        <is>
          <t>TICKER</t>
        </is>
      </c>
      <c r="C4" s="6" t="n">
        <v>0</v>
      </c>
      <c r="D4" s="7" t="n">
        <v>0</v>
      </c>
      <c r="E4" s="7" t="n">
        <v>0</v>
      </c>
      <c r="F4" s="8">
        <f>C4*E4</f>
        <v/>
      </c>
      <c r="G4" s="9">
        <f>F4-C4*D4</f>
        <v/>
      </c>
      <c r="H4" s="10">
        <f>IF(D4=0,"-",(E4-D4)/D4)</f>
        <v/>
      </c>
      <c r="I4" s="11">
        <f>IF(SUM($F$4:$F$18)=0,"-",F4/SUM($F$4:$F$18))</f>
        <v/>
      </c>
      <c r="J4" s="12" t="inlineStr"/>
    </row>
    <row r="5">
      <c r="A5" s="4" t="inlineStr">
        <is>
          <t>Position 2</t>
        </is>
      </c>
      <c r="B5" s="5" t="inlineStr">
        <is>
          <t>TICKER</t>
        </is>
      </c>
      <c r="C5" s="6" t="n">
        <v>0</v>
      </c>
      <c r="D5" s="7" t="n">
        <v>0</v>
      </c>
      <c r="E5" s="7" t="n">
        <v>0</v>
      </c>
      <c r="F5" s="8">
        <f>C5*E5</f>
        <v/>
      </c>
      <c r="G5" s="9">
        <f>F5-C5*D5</f>
        <v/>
      </c>
      <c r="H5" s="10">
        <f>IF(D5=0,"-",(E5-D5)/D5)</f>
        <v/>
      </c>
      <c r="I5" s="11">
        <f>IF(SUM($F$4:$F$18)=0,"-",F5/SUM($F$4:$F$18))</f>
        <v/>
      </c>
      <c r="J5" s="12" t="inlineStr"/>
    </row>
    <row r="6">
      <c r="A6" s="4" t="inlineStr">
        <is>
          <t>Position 3</t>
        </is>
      </c>
      <c r="B6" s="5" t="inlineStr">
        <is>
          <t>TICKER</t>
        </is>
      </c>
      <c r="C6" s="6" t="n">
        <v>0</v>
      </c>
      <c r="D6" s="7" t="n">
        <v>0</v>
      </c>
      <c r="E6" s="7" t="n">
        <v>0</v>
      </c>
      <c r="F6" s="8">
        <f>C6*E6</f>
        <v/>
      </c>
      <c r="G6" s="9">
        <f>F6-C6*D6</f>
        <v/>
      </c>
      <c r="H6" s="10">
        <f>IF(D6=0,"-",(E6-D6)/D6)</f>
        <v/>
      </c>
      <c r="I6" s="11">
        <f>IF(SUM($F$4:$F$18)=0,"-",F6/SUM($F$4:$F$18))</f>
        <v/>
      </c>
      <c r="J6" s="12" t="inlineStr"/>
    </row>
    <row r="7">
      <c r="A7" s="4" t="inlineStr">
        <is>
          <t>Position 4</t>
        </is>
      </c>
      <c r="B7" s="5" t="inlineStr">
        <is>
          <t>TICKER</t>
        </is>
      </c>
      <c r="C7" s="6" t="n">
        <v>0</v>
      </c>
      <c r="D7" s="7" t="n">
        <v>0</v>
      </c>
      <c r="E7" s="7" t="n">
        <v>0</v>
      </c>
      <c r="F7" s="8">
        <f>C7*E7</f>
        <v/>
      </c>
      <c r="G7" s="9">
        <f>F7-C7*D7</f>
        <v/>
      </c>
      <c r="H7" s="10">
        <f>IF(D7=0,"-",(E7-D7)/D7)</f>
        <v/>
      </c>
      <c r="I7" s="11">
        <f>IF(SUM($F$4:$F$18)=0,"-",F7/SUM($F$4:$F$18))</f>
        <v/>
      </c>
      <c r="J7" s="12" t="inlineStr"/>
    </row>
    <row r="8">
      <c r="A8" s="4" t="inlineStr">
        <is>
          <t>Position 5</t>
        </is>
      </c>
      <c r="B8" s="5" t="inlineStr">
        <is>
          <t>TICKER</t>
        </is>
      </c>
      <c r="C8" s="6" t="n">
        <v>0</v>
      </c>
      <c r="D8" s="7" t="n">
        <v>0</v>
      </c>
      <c r="E8" s="7" t="n">
        <v>0</v>
      </c>
      <c r="F8" s="8">
        <f>C8*E8</f>
        <v/>
      </c>
      <c r="G8" s="9">
        <f>F8-C8*D8</f>
        <v/>
      </c>
      <c r="H8" s="10">
        <f>IF(D8=0,"-",(E8-D8)/D8)</f>
        <v/>
      </c>
      <c r="I8" s="11">
        <f>IF(SUM($F$4:$F$18)=0,"-",F8/SUM($F$4:$F$18))</f>
        <v/>
      </c>
      <c r="J8" s="12" t="inlineStr"/>
    </row>
    <row r="9">
      <c r="A9" s="4" t="inlineStr">
        <is>
          <t>Position 6</t>
        </is>
      </c>
      <c r="B9" s="5" t="inlineStr">
        <is>
          <t>TICKER</t>
        </is>
      </c>
      <c r="C9" s="6" t="n">
        <v>0</v>
      </c>
      <c r="D9" s="7" t="n">
        <v>0</v>
      </c>
      <c r="E9" s="7" t="n">
        <v>0</v>
      </c>
      <c r="F9" s="8">
        <f>C9*E9</f>
        <v/>
      </c>
      <c r="G9" s="9">
        <f>F9-C9*D9</f>
        <v/>
      </c>
      <c r="H9" s="10">
        <f>IF(D9=0,"-",(E9-D9)/D9)</f>
        <v/>
      </c>
      <c r="I9" s="11">
        <f>IF(SUM($F$4:$F$18)=0,"-",F9/SUM($F$4:$F$18))</f>
        <v/>
      </c>
      <c r="J9" s="12" t="inlineStr"/>
    </row>
    <row r="10">
      <c r="A10" s="4" t="inlineStr">
        <is>
          <t>Position 7</t>
        </is>
      </c>
      <c r="B10" s="5" t="inlineStr">
        <is>
          <t>TICKER</t>
        </is>
      </c>
      <c r="C10" s="6" t="n">
        <v>0</v>
      </c>
      <c r="D10" s="7" t="n">
        <v>0</v>
      </c>
      <c r="E10" s="7" t="n">
        <v>0</v>
      </c>
      <c r="F10" s="8">
        <f>C10*E10</f>
        <v/>
      </c>
      <c r="G10" s="9">
        <f>F10-C10*D10</f>
        <v/>
      </c>
      <c r="H10" s="10">
        <f>IF(D10=0,"-",(E10-D10)/D10)</f>
        <v/>
      </c>
      <c r="I10" s="11">
        <f>IF(SUM($F$4:$F$18)=0,"-",F10/SUM($F$4:$F$18))</f>
        <v/>
      </c>
      <c r="J10" s="12" t="inlineStr"/>
    </row>
    <row r="11">
      <c r="A11" s="4" t="inlineStr">
        <is>
          <t>Position 8</t>
        </is>
      </c>
      <c r="B11" s="5" t="inlineStr">
        <is>
          <t>TICKER</t>
        </is>
      </c>
      <c r="C11" s="6" t="n">
        <v>0</v>
      </c>
      <c r="D11" s="7" t="n">
        <v>0</v>
      </c>
      <c r="E11" s="7" t="n">
        <v>0</v>
      </c>
      <c r="F11" s="8">
        <f>C11*E11</f>
        <v/>
      </c>
      <c r="G11" s="9">
        <f>F11-C11*D11</f>
        <v/>
      </c>
      <c r="H11" s="10">
        <f>IF(D11=0,"-",(E11-D11)/D11)</f>
        <v/>
      </c>
      <c r="I11" s="11">
        <f>IF(SUM($F$4:$F$18)=0,"-",F11/SUM($F$4:$F$18))</f>
        <v/>
      </c>
      <c r="J11" s="12" t="inlineStr"/>
    </row>
    <row r="12">
      <c r="A12" s="4" t="inlineStr">
        <is>
          <t>Position 9</t>
        </is>
      </c>
      <c r="B12" s="5" t="inlineStr">
        <is>
          <t>TICKER</t>
        </is>
      </c>
      <c r="C12" s="6" t="n">
        <v>0</v>
      </c>
      <c r="D12" s="7" t="n">
        <v>0</v>
      </c>
      <c r="E12" s="7" t="n">
        <v>0</v>
      </c>
      <c r="F12" s="8">
        <f>C12*E12</f>
        <v/>
      </c>
      <c r="G12" s="9">
        <f>F12-C12*D12</f>
        <v/>
      </c>
      <c r="H12" s="10">
        <f>IF(D12=0,"-",(E12-D12)/D12)</f>
        <v/>
      </c>
      <c r="I12" s="11">
        <f>IF(SUM($F$4:$F$18)=0,"-",F12/SUM($F$4:$F$18))</f>
        <v/>
      </c>
      <c r="J12" s="12" t="inlineStr"/>
    </row>
    <row r="13">
      <c r="A13" s="4" t="inlineStr">
        <is>
          <t>Position 10</t>
        </is>
      </c>
      <c r="B13" s="5" t="inlineStr">
        <is>
          <t>TICKER</t>
        </is>
      </c>
      <c r="C13" s="6" t="n">
        <v>0</v>
      </c>
      <c r="D13" s="7" t="n">
        <v>0</v>
      </c>
      <c r="E13" s="7" t="n">
        <v>0</v>
      </c>
      <c r="F13" s="8">
        <f>C13*E13</f>
        <v/>
      </c>
      <c r="G13" s="9">
        <f>F13-C13*D13</f>
        <v/>
      </c>
      <c r="H13" s="10">
        <f>IF(D13=0,"-",(E13-D13)/D13)</f>
        <v/>
      </c>
      <c r="I13" s="11">
        <f>IF(SUM($F$4:$F$18)=0,"-",F13/SUM($F$4:$F$18))</f>
        <v/>
      </c>
      <c r="J13" s="12" t="inlineStr"/>
    </row>
    <row r="14">
      <c r="A14" s="4" t="inlineStr">
        <is>
          <t>Position 11</t>
        </is>
      </c>
      <c r="B14" s="5" t="inlineStr">
        <is>
          <t>TICKER</t>
        </is>
      </c>
      <c r="C14" s="6" t="n">
        <v>0</v>
      </c>
      <c r="D14" s="7" t="n">
        <v>0</v>
      </c>
      <c r="E14" s="7" t="n">
        <v>0</v>
      </c>
      <c r="F14" s="8">
        <f>C14*E14</f>
        <v/>
      </c>
      <c r="G14" s="9">
        <f>F14-C14*D14</f>
        <v/>
      </c>
      <c r="H14" s="10">
        <f>IF(D14=0,"-",(E14-D14)/D14)</f>
        <v/>
      </c>
      <c r="I14" s="11">
        <f>IF(SUM($F$4:$F$18)=0,"-",F14/SUM($F$4:$F$18))</f>
        <v/>
      </c>
      <c r="J14" s="12" t="inlineStr"/>
    </row>
    <row r="15">
      <c r="A15" s="4" t="inlineStr">
        <is>
          <t>Position 12</t>
        </is>
      </c>
      <c r="B15" s="5" t="inlineStr">
        <is>
          <t>TICKER</t>
        </is>
      </c>
      <c r="C15" s="6" t="n">
        <v>0</v>
      </c>
      <c r="D15" s="7" t="n">
        <v>0</v>
      </c>
      <c r="E15" s="7" t="n">
        <v>0</v>
      </c>
      <c r="F15" s="8">
        <f>C15*E15</f>
        <v/>
      </c>
      <c r="G15" s="9">
        <f>F15-C15*D15</f>
        <v/>
      </c>
      <c r="H15" s="10">
        <f>IF(D15=0,"-",(E15-D15)/D15)</f>
        <v/>
      </c>
      <c r="I15" s="11">
        <f>IF(SUM($F$4:$F$18)=0,"-",F15/SUM($F$4:$F$18))</f>
        <v/>
      </c>
      <c r="J15" s="12" t="inlineStr"/>
    </row>
    <row r="16">
      <c r="A16" s="4" t="inlineStr">
        <is>
          <t>Position 13</t>
        </is>
      </c>
      <c r="B16" s="5" t="inlineStr">
        <is>
          <t>TICKER</t>
        </is>
      </c>
      <c r="C16" s="6" t="n">
        <v>0</v>
      </c>
      <c r="D16" s="7" t="n">
        <v>0</v>
      </c>
      <c r="E16" s="7" t="n">
        <v>0</v>
      </c>
      <c r="F16" s="8">
        <f>C16*E16</f>
        <v/>
      </c>
      <c r="G16" s="9">
        <f>F16-C16*D16</f>
        <v/>
      </c>
      <c r="H16" s="10">
        <f>IF(D16=0,"-",(E16-D16)/D16)</f>
        <v/>
      </c>
      <c r="I16" s="11">
        <f>IF(SUM($F$4:$F$18)=0,"-",F16/SUM($F$4:$F$18))</f>
        <v/>
      </c>
      <c r="J16" s="12" t="inlineStr"/>
    </row>
    <row r="17">
      <c r="A17" s="4" t="inlineStr">
        <is>
          <t>Position 14</t>
        </is>
      </c>
      <c r="B17" s="5" t="inlineStr">
        <is>
          <t>TICKER</t>
        </is>
      </c>
      <c r="C17" s="6" t="n">
        <v>0</v>
      </c>
      <c r="D17" s="7" t="n">
        <v>0</v>
      </c>
      <c r="E17" s="7" t="n">
        <v>0</v>
      </c>
      <c r="F17" s="8">
        <f>C17*E17</f>
        <v/>
      </c>
      <c r="G17" s="9">
        <f>F17-C17*D17</f>
        <v/>
      </c>
      <c r="H17" s="10">
        <f>IF(D17=0,"-",(E17-D17)/D17)</f>
        <v/>
      </c>
      <c r="I17" s="11">
        <f>IF(SUM($F$4:$F$18)=0,"-",F17/SUM($F$4:$F$18))</f>
        <v/>
      </c>
      <c r="J17" s="12" t="inlineStr"/>
    </row>
    <row r="18">
      <c r="A18" s="4" t="inlineStr">
        <is>
          <t>Position 15</t>
        </is>
      </c>
      <c r="B18" s="5" t="inlineStr">
        <is>
          <t>TICKER</t>
        </is>
      </c>
      <c r="C18" s="6" t="n">
        <v>0</v>
      </c>
      <c r="D18" s="7" t="n">
        <v>0</v>
      </c>
      <c r="E18" s="7" t="n">
        <v>0</v>
      </c>
      <c r="F18" s="8">
        <f>C18*E18</f>
        <v/>
      </c>
      <c r="G18" s="9">
        <f>F18-C18*D18</f>
        <v/>
      </c>
      <c r="H18" s="10">
        <f>IF(D18=0,"-",(E18-D18)/D18)</f>
        <v/>
      </c>
      <c r="I18" s="11">
        <f>IF(SUM($F$4:$F$18)=0,"-",F18/SUM($F$4:$F$18))</f>
        <v/>
      </c>
      <c r="J18" s="12" t="inlineStr"/>
    </row>
    <row r="19" ht="22" customHeight="1">
      <c r="A19" s="13" t="inlineStr">
        <is>
          <t>TOTAL</t>
        </is>
      </c>
      <c r="B19" s="14" t="inlineStr"/>
      <c r="C19" s="14" t="inlineStr"/>
      <c r="D19" s="14" t="inlineStr"/>
      <c r="E19" s="14" t="inlineStr"/>
      <c r="F19" s="8">
        <f>SUM(F4:F18)</f>
        <v/>
      </c>
      <c r="G19" s="9">
        <f>SUM(G4:G18)</f>
        <v/>
      </c>
      <c r="H19" s="10">
        <f>IF(SUM(C4:C18*D4:D18)=0,"-",SUM(G4:G18)/SUM(C4:C18*D4:D18))</f>
        <v/>
      </c>
      <c r="I19" s="11">
        <f>SUM(I4:I18)</f>
        <v/>
      </c>
      <c r="J19" s="14" t="inlineStr"/>
    </row>
    <row r="21" ht="22" customHeight="1">
      <c r="A21" s="15" t="inlineStr">
        <is>
          <t xml:space="preserve">  ★  Portfolio Summary</t>
        </is>
      </c>
    </row>
    <row r="22" ht="20" customHeight="1">
      <c r="A22" s="16" t="inlineStr">
        <is>
          <t>Total Market Value</t>
        </is>
      </c>
      <c r="B22" s="17" t="n"/>
      <c r="C22" s="17" t="n"/>
      <c r="D22" s="17" t="n"/>
      <c r="E22" s="18" t="n"/>
      <c r="F22" s="8">
        <f>F19</f>
        <v/>
      </c>
      <c r="G22" s="17" t="n"/>
      <c r="H22" s="17" t="n"/>
      <c r="I22" s="17" t="n"/>
      <c r="J22" s="18" t="n"/>
    </row>
    <row r="23" ht="20" customHeight="1">
      <c r="A23" s="16" t="inlineStr">
        <is>
          <t>Total Cost Basis</t>
        </is>
      </c>
      <c r="B23" s="17" t="n"/>
      <c r="C23" s="17" t="n"/>
      <c r="D23" s="17" t="n"/>
      <c r="E23" s="18" t="n"/>
      <c r="F23" s="8">
        <f>SUMPRODUCT(C4:C18,D4:D18)</f>
        <v/>
      </c>
      <c r="G23" s="17" t="n"/>
      <c r="H23" s="17" t="n"/>
      <c r="I23" s="17" t="n"/>
      <c r="J23" s="18" t="n"/>
    </row>
    <row r="24" ht="20" customHeight="1">
      <c r="A24" s="16" t="inlineStr">
        <is>
          <t>Total Unrealised P&amp;L ($)</t>
        </is>
      </c>
      <c r="B24" s="17" t="n"/>
      <c r="C24" s="17" t="n"/>
      <c r="D24" s="17" t="n"/>
      <c r="E24" s="18" t="n"/>
      <c r="F24" s="9">
        <f>G19</f>
        <v/>
      </c>
      <c r="G24" s="17" t="n"/>
      <c r="H24" s="17" t="n"/>
      <c r="I24" s="17" t="n"/>
      <c r="J24" s="18" t="n"/>
    </row>
    <row r="25" ht="20" customHeight="1">
      <c r="A25" s="16" t="inlineStr">
        <is>
          <t>Total Unrealised P&amp;L (%)</t>
        </is>
      </c>
      <c r="B25" s="17" t="n"/>
      <c r="C25" s="17" t="n"/>
      <c r="D25" s="17" t="n"/>
      <c r="E25" s="18" t="n"/>
      <c r="F25" s="10">
        <f>IF(SUMPRODUCT(C4:C18,D4:D18)=0,"-",G19/SUMPRODUCT(C4:C18,D4:D18))</f>
        <v/>
      </c>
      <c r="G25" s="17" t="n"/>
      <c r="H25" s="17" t="n"/>
      <c r="I25" s="17" t="n"/>
      <c r="J25" s="18" t="n"/>
    </row>
    <row r="26" ht="20" customHeight="1">
      <c r="A26" s="16" t="inlineStr">
        <is>
          <t># Positions Held</t>
        </is>
      </c>
      <c r="B26" s="17" t="n"/>
      <c r="C26" s="17" t="n"/>
      <c r="D26" s="17" t="n"/>
      <c r="E26" s="18" t="n"/>
      <c r="F26" s="19">
        <f>COUNTIF(C4:C18,"&gt;"&amp;0)</f>
        <v/>
      </c>
      <c r="G26" s="17" t="n"/>
      <c r="H26" s="17" t="n"/>
      <c r="I26" s="17" t="n"/>
      <c r="J26" s="18" t="n"/>
    </row>
    <row r="27" ht="20" customHeight="1">
      <c r="A27" s="16" t="inlineStr">
        <is>
          <t>Largest Position (%)</t>
        </is>
      </c>
      <c r="B27" s="17" t="n"/>
      <c r="C27" s="17" t="n"/>
      <c r="D27" s="17" t="n"/>
      <c r="E27" s="18" t="n"/>
      <c r="F27" s="11">
        <f>MAX(I4:I18)</f>
        <v/>
      </c>
      <c r="G27" s="17" t="n"/>
      <c r="H27" s="17" t="n"/>
      <c r="I27" s="17" t="n"/>
      <c r="J27" s="18" t="n"/>
    </row>
    <row r="29">
      <c r="A29" s="20" t="inlineStr">
        <is>
          <t>⚠  Prices are manual inputs. Update column E regularly for accurate P&amp;L.</t>
        </is>
      </c>
    </row>
  </sheetData>
  <mergeCells count="16">
    <mergeCell ref="A1:J1"/>
    <mergeCell ref="A26:E26"/>
    <mergeCell ref="A24:E24"/>
    <mergeCell ref="F24:J24"/>
    <mergeCell ref="F23:J23"/>
    <mergeCell ref="A25:E25"/>
    <mergeCell ref="A21:J21"/>
    <mergeCell ref="F25:J25"/>
    <mergeCell ref="A29:J29"/>
    <mergeCell ref="A23:E23"/>
    <mergeCell ref="A2:J2"/>
    <mergeCell ref="F22:J22"/>
    <mergeCell ref="A22:E22"/>
    <mergeCell ref="F26:J26"/>
    <mergeCell ref="F27:J27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2026-02-21T01:53:38Z</dcterms:created>
  <dcterms:modified xmlns:dcterms="http://purl.org/dc/terms/" xmlns:xsi="http://www.w3.org/2001/XMLSchema-instance" xsi:type="dcterms:W3CDTF">2026-02-21T01:53:38Z</dcterms:modified>
</cp:coreProperties>
</file>